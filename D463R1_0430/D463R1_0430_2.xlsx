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ZBGit\TIDF35_OSPract\TIDF35_0430\"/>
    </mc:Choice>
  </mc:AlternateContent>
  <xr:revisionPtr revIDLastSave="0" documentId="13_ncr:1_{26053A84-C003-4C7E-B2D0-330294B19E6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MEMO_TASK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" i="1" l="1"/>
  <c r="U47" i="1"/>
  <c r="T47" i="1"/>
  <c r="S47" i="1"/>
  <c r="R47" i="1"/>
  <c r="Q47" i="1"/>
  <c r="P47" i="1"/>
  <c r="V47" i="1" s="1"/>
  <c r="O56" i="1" s="1"/>
  <c r="V34" i="1"/>
  <c r="U33" i="1"/>
  <c r="V33" i="1" s="1"/>
  <c r="O42" i="1" s="1"/>
  <c r="T33" i="1"/>
  <c r="S33" i="1"/>
  <c r="R33" i="1"/>
  <c r="Q33" i="1"/>
  <c r="P33" i="1"/>
  <c r="V20" i="1"/>
  <c r="U19" i="1"/>
  <c r="T19" i="1"/>
  <c r="S19" i="1"/>
  <c r="R19" i="1"/>
  <c r="Q19" i="1"/>
  <c r="P19" i="1"/>
  <c r="V19" i="1" s="1"/>
  <c r="O28" i="1" s="1"/>
  <c r="V6" i="1"/>
  <c r="U5" i="1"/>
  <c r="Q5" i="1"/>
  <c r="R5" i="1"/>
  <c r="S5" i="1"/>
  <c r="T5" i="1"/>
  <c r="P5" i="1"/>
  <c r="V5" i="1" s="1"/>
  <c r="O14" i="1" s="1"/>
  <c r="D60" i="1" s="1"/>
</calcChain>
</file>

<file path=xl/sharedStrings.xml><?xml version="1.0" encoding="utf-8"?>
<sst xmlns="http://schemas.openxmlformats.org/spreadsheetml/2006/main" count="90" uniqueCount="38">
  <si>
    <t>Foglalási igény</t>
  </si>
  <si>
    <t>Memória terület - szabad terület</t>
  </si>
  <si>
    <t>P1</t>
  </si>
  <si>
    <t>P2</t>
  </si>
  <si>
    <t>P3</t>
  </si>
  <si>
    <t>P4</t>
  </si>
  <si>
    <t>P5</t>
  </si>
  <si>
    <r>
      <t xml:space="preserve">40, </t>
    </r>
    <r>
      <rPr>
        <sz val="11"/>
        <color rgb="FFFF0000"/>
        <rFont val="Calibri"/>
        <family val="2"/>
        <charset val="238"/>
        <scheme val="minor"/>
      </rPr>
      <t>5</t>
    </r>
  </si>
  <si>
    <r>
      <t xml:space="preserve">20, </t>
    </r>
    <r>
      <rPr>
        <sz val="11"/>
        <color rgb="FFFF0000"/>
        <rFont val="Calibri"/>
        <family val="2"/>
        <charset val="238"/>
        <scheme val="minor"/>
      </rPr>
      <t>10</t>
    </r>
  </si>
  <si>
    <r>
      <t xml:space="preserve">35, </t>
    </r>
    <r>
      <rPr>
        <sz val="11"/>
        <color rgb="FFFF0000"/>
        <rFont val="Calibri"/>
        <family val="2"/>
        <charset val="238"/>
        <scheme val="minor"/>
      </rPr>
      <t>11</t>
    </r>
  </si>
  <si>
    <t>Szabad partíciók:</t>
  </si>
  <si>
    <t xml:space="preserve">Eddigi legkisebb foglalás: </t>
  </si>
  <si>
    <t>Maradék:</t>
  </si>
  <si>
    <t>Túl kicsi blokk:</t>
  </si>
  <si>
    <t>Elveszett memória</t>
  </si>
  <si>
    <t>Belső töredezettség:</t>
  </si>
  <si>
    <t>nincs foglalás</t>
  </si>
  <si>
    <t>first</t>
  </si>
  <si>
    <t>next</t>
  </si>
  <si>
    <t>best</t>
  </si>
  <si>
    <t>worst</t>
  </si>
  <si>
    <r>
      <t xml:space="preserve">40, </t>
    </r>
    <r>
      <rPr>
        <sz val="11"/>
        <color rgb="FFFF0000"/>
        <rFont val="Calibri"/>
        <family val="2"/>
        <charset val="238"/>
        <scheme val="minor"/>
      </rPr>
      <t>35</t>
    </r>
  </si>
  <si>
    <t>First Fit</t>
  </si>
  <si>
    <t>Next Fit</t>
  </si>
  <si>
    <t>Igény</t>
  </si>
  <si>
    <r>
      <t xml:space="preserve">39, </t>
    </r>
    <r>
      <rPr>
        <sz val="11"/>
        <color rgb="FFFF0000"/>
        <rFont val="Calibri"/>
        <family val="2"/>
        <charset val="238"/>
        <scheme val="minor"/>
      </rPr>
      <t>36</t>
    </r>
  </si>
  <si>
    <r>
      <t xml:space="preserve">33, </t>
    </r>
    <r>
      <rPr>
        <sz val="11"/>
        <color rgb="FFFF0000"/>
        <rFont val="Calibri"/>
        <family val="2"/>
        <charset val="238"/>
        <scheme val="minor"/>
      </rPr>
      <t>3</t>
    </r>
  </si>
  <si>
    <r>
      <t xml:space="preserve">20, </t>
    </r>
    <r>
      <rPr>
        <sz val="11"/>
        <color rgb="FFFF0000"/>
        <rFont val="Calibri"/>
        <family val="2"/>
        <charset val="238"/>
        <scheme val="minor"/>
      </rPr>
      <t>5</t>
    </r>
  </si>
  <si>
    <r>
      <t xml:space="preserve">39, 21, </t>
    </r>
    <r>
      <rPr>
        <sz val="11"/>
        <color rgb="FFFF0000"/>
        <rFont val="Calibri"/>
        <family val="2"/>
        <charset val="238"/>
        <scheme val="minor"/>
      </rPr>
      <t>15</t>
    </r>
  </si>
  <si>
    <t>Összes</t>
  </si>
  <si>
    <t>Best Fit</t>
  </si>
  <si>
    <r>
      <t xml:space="preserve">21, </t>
    </r>
    <r>
      <rPr>
        <sz val="11"/>
        <color rgb="FFFF0000"/>
        <rFont val="Calibri"/>
        <family val="2"/>
        <charset val="238"/>
        <scheme val="minor"/>
      </rPr>
      <t>9</t>
    </r>
  </si>
  <si>
    <r>
      <t xml:space="preserve">33, </t>
    </r>
    <r>
      <rPr>
        <sz val="11"/>
        <color rgb="FFFF0000"/>
        <rFont val="Calibri"/>
        <family val="2"/>
        <charset val="238"/>
        <scheme val="minor"/>
      </rPr>
      <t>2</t>
    </r>
  </si>
  <si>
    <r>
      <t xml:space="preserve">39, </t>
    </r>
    <r>
      <rPr>
        <sz val="11"/>
        <color rgb="FFFF0000"/>
        <rFont val="Calibri"/>
        <family val="2"/>
        <charset val="238"/>
        <scheme val="minor"/>
      </rPr>
      <t>6</t>
    </r>
  </si>
  <si>
    <t>Worst Fit</t>
  </si>
  <si>
    <r>
      <rPr>
        <sz val="11"/>
        <rFont val="Calibri"/>
        <family val="2"/>
        <charset val="238"/>
        <scheme val="minor"/>
      </rPr>
      <t xml:space="preserve">40, </t>
    </r>
    <r>
      <rPr>
        <sz val="11"/>
        <color rgb="FFFF0000"/>
        <rFont val="Calibri"/>
        <family val="2"/>
        <scheme val="minor"/>
      </rPr>
      <t>5</t>
    </r>
  </si>
  <si>
    <r>
      <rPr>
        <sz val="11"/>
        <rFont val="Calibri"/>
        <family val="2"/>
        <charset val="238"/>
        <scheme val="minor"/>
      </rPr>
      <t>39, 33,</t>
    </r>
    <r>
      <rPr>
        <sz val="11"/>
        <color rgb="FFFF0000"/>
        <rFont val="Calibri"/>
        <family val="2"/>
        <scheme val="minor"/>
      </rPr>
      <t xml:space="preserve"> 3</t>
    </r>
  </si>
  <si>
    <r>
      <rPr>
        <sz val="11"/>
        <rFont val="Calibri"/>
        <family val="2"/>
        <charset val="238"/>
        <scheme val="minor"/>
      </rPr>
      <t>20,</t>
    </r>
    <r>
      <rPr>
        <sz val="11"/>
        <color rgb="FFFF0000"/>
        <rFont val="Calibri"/>
        <family val="2"/>
        <scheme val="minor"/>
      </rPr>
      <t xml:space="preserve"> 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</si>
</sst>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6" xfId="0" applyFont="1" applyBorder="1"/>
    <xf numFmtId="0" fontId="3" fillId="0" borderId="8" xfId="0" applyFont="1" applyBorder="1"/>
    <xf numFmtId="0" fontId="0" fillId="0" borderId="9" xfId="0" applyBorder="1" applyAlignment="1">
      <alignment horizontal="center"/>
    </xf>
    <xf numFmtId="9" fontId="0" fillId="0" borderId="0" xfId="1" applyFont="1"/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8" xfId="0" applyBorder="1"/>
    <xf numFmtId="0" fontId="3" fillId="0" borderId="5" xfId="0" applyFont="1" applyBorder="1" applyAlignment="1">
      <alignment horizontal="center"/>
    </xf>
    <xf numFmtId="0" fontId="0" fillId="0" borderId="20" xfId="0" applyBorder="1"/>
    <xf numFmtId="0" fontId="0" fillId="0" borderId="19" xfId="0" applyBorder="1"/>
    <xf numFmtId="0" fontId="6" fillId="3" borderId="14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9" xfId="0" applyBorder="1" applyAlignment="1">
      <alignment horizontal="right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0" fontId="0" fillId="0" borderId="22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24" xfId="0" applyNumberForma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60"/>
  <sheetViews>
    <sheetView tabSelected="1" zoomScale="55" zoomScaleNormal="55" workbookViewId="0">
      <selection activeCell="G67" sqref="G67"/>
    </sheetView>
  </sheetViews>
  <sheetFormatPr defaultRowHeight="14.4" x14ac:dyDescent="0.3"/>
  <cols>
    <col min="15" max="15" width="10.33203125" customWidth="1"/>
  </cols>
  <sheetData>
    <row r="2" spans="2:22" ht="15" thickBot="1" x14ac:dyDescent="0.35">
      <c r="B2" t="s">
        <v>22</v>
      </c>
    </row>
    <row r="3" spans="2:22" ht="15" thickBot="1" x14ac:dyDescent="0.35">
      <c r="B3" s="43" t="s">
        <v>0</v>
      </c>
      <c r="C3" s="44"/>
      <c r="D3" s="45"/>
      <c r="E3" s="41" t="s">
        <v>1</v>
      </c>
      <c r="F3" s="41"/>
      <c r="G3" s="41"/>
      <c r="H3" s="41"/>
      <c r="I3" s="41"/>
      <c r="J3" s="42"/>
      <c r="O3" s="37"/>
      <c r="P3" s="34"/>
      <c r="Q3" s="34"/>
      <c r="R3" s="34"/>
      <c r="S3" s="34"/>
      <c r="T3" s="34"/>
      <c r="U3" s="34"/>
      <c r="V3" s="35" t="s">
        <v>29</v>
      </c>
    </row>
    <row r="4" spans="2:22" ht="15" thickBot="1" x14ac:dyDescent="0.35">
      <c r="B4" s="49"/>
      <c r="C4" s="50"/>
      <c r="D4" s="51"/>
      <c r="E4" s="1">
        <v>30</v>
      </c>
      <c r="F4" s="2">
        <v>35</v>
      </c>
      <c r="G4" s="2">
        <v>15</v>
      </c>
      <c r="H4" s="2">
        <v>25</v>
      </c>
      <c r="I4" s="2">
        <v>75</v>
      </c>
      <c r="J4" s="2">
        <v>45</v>
      </c>
      <c r="M4" s="47" t="s">
        <v>11</v>
      </c>
      <c r="N4" s="47"/>
      <c r="O4" s="48"/>
      <c r="P4">
        <v>20</v>
      </c>
      <c r="V4" s="36"/>
    </row>
    <row r="5" spans="2:22" x14ac:dyDescent="0.3">
      <c r="B5" s="3" t="s">
        <v>2</v>
      </c>
      <c r="C5" s="4">
        <v>39</v>
      </c>
      <c r="D5" s="7">
        <v>40</v>
      </c>
      <c r="E5" s="5">
        <v>30</v>
      </c>
      <c r="F5" s="6">
        <v>35</v>
      </c>
      <c r="G5" s="17">
        <v>15</v>
      </c>
      <c r="H5" s="17">
        <v>25</v>
      </c>
      <c r="I5" s="25" t="s">
        <v>21</v>
      </c>
      <c r="J5" s="6">
        <v>45</v>
      </c>
      <c r="M5" s="47" t="s">
        <v>12</v>
      </c>
      <c r="N5" s="47"/>
      <c r="O5" s="48"/>
      <c r="P5">
        <f>MOD(E11,4)</f>
        <v>2</v>
      </c>
      <c r="Q5">
        <f t="shared" ref="Q5:T5" si="0">MOD(F11,4)</f>
        <v>3</v>
      </c>
      <c r="R5">
        <f t="shared" si="0"/>
        <v>3</v>
      </c>
      <c r="S5">
        <f t="shared" si="0"/>
        <v>1</v>
      </c>
      <c r="T5">
        <f t="shared" si="0"/>
        <v>3</v>
      </c>
      <c r="U5">
        <f>MOD(J11,4)</f>
        <v>1</v>
      </c>
      <c r="V5" s="36">
        <f>SUM(P5:U5)</f>
        <v>13</v>
      </c>
    </row>
    <row r="6" spans="2:22" x14ac:dyDescent="0.3">
      <c r="B6" s="8" t="s">
        <v>3</v>
      </c>
      <c r="C6" s="9">
        <v>40</v>
      </c>
      <c r="D6" s="12">
        <v>40</v>
      </c>
      <c r="E6" s="10">
        <v>30</v>
      </c>
      <c r="F6" s="11">
        <v>35</v>
      </c>
      <c r="G6" s="18">
        <v>15</v>
      </c>
      <c r="H6" s="18">
        <v>25</v>
      </c>
      <c r="I6" s="18">
        <v>35</v>
      </c>
      <c r="J6" s="26" t="s">
        <v>7</v>
      </c>
      <c r="M6" s="47" t="s">
        <v>13</v>
      </c>
      <c r="N6" s="47"/>
      <c r="O6" s="48"/>
      <c r="P6">
        <v>10</v>
      </c>
      <c r="Q6">
        <v>11</v>
      </c>
      <c r="R6">
        <v>15</v>
      </c>
      <c r="S6">
        <v>0</v>
      </c>
      <c r="T6">
        <v>0</v>
      </c>
      <c r="U6">
        <v>5</v>
      </c>
      <c r="V6" s="36">
        <f>SUM(P6:U6)</f>
        <v>41</v>
      </c>
    </row>
    <row r="7" spans="2:22" x14ac:dyDescent="0.3">
      <c r="B7" s="8" t="s">
        <v>4</v>
      </c>
      <c r="C7" s="9">
        <v>33</v>
      </c>
      <c r="D7" s="12">
        <v>36</v>
      </c>
      <c r="E7" s="10">
        <v>30</v>
      </c>
      <c r="F7" s="11">
        <v>35</v>
      </c>
      <c r="G7" s="18">
        <v>15</v>
      </c>
      <c r="H7" s="18">
        <v>25</v>
      </c>
      <c r="I7" s="18">
        <v>35</v>
      </c>
      <c r="J7" s="18">
        <v>5</v>
      </c>
      <c r="M7" s="47" t="s">
        <v>15</v>
      </c>
      <c r="N7" s="47"/>
      <c r="O7" s="48"/>
      <c r="V7" s="36"/>
    </row>
    <row r="8" spans="2:22" x14ac:dyDescent="0.3">
      <c r="B8" s="8" t="s">
        <v>5</v>
      </c>
      <c r="C8" s="9">
        <v>20</v>
      </c>
      <c r="D8" s="12">
        <v>20</v>
      </c>
      <c r="E8" s="27" t="s">
        <v>8</v>
      </c>
      <c r="F8" s="11">
        <v>35</v>
      </c>
      <c r="G8" s="18">
        <v>15</v>
      </c>
      <c r="H8" s="18">
        <v>25</v>
      </c>
      <c r="I8" s="18">
        <v>35</v>
      </c>
      <c r="J8" s="18">
        <v>5</v>
      </c>
      <c r="O8" s="37">
        <v>1</v>
      </c>
      <c r="V8" s="36"/>
    </row>
    <row r="9" spans="2:22" ht="15" thickBot="1" x14ac:dyDescent="0.35">
      <c r="B9" s="13" t="s">
        <v>6</v>
      </c>
      <c r="C9" s="14">
        <v>21</v>
      </c>
      <c r="D9" s="15">
        <v>24</v>
      </c>
      <c r="E9" s="20">
        <v>10</v>
      </c>
      <c r="F9" s="28" t="s">
        <v>9</v>
      </c>
      <c r="G9" s="19">
        <v>15</v>
      </c>
      <c r="H9" s="19">
        <v>25</v>
      </c>
      <c r="I9" s="19">
        <v>35</v>
      </c>
      <c r="J9" s="19">
        <v>5</v>
      </c>
      <c r="O9" s="37">
        <v>0</v>
      </c>
      <c r="V9" s="36"/>
    </row>
    <row r="10" spans="2:22" x14ac:dyDescent="0.3">
      <c r="O10" s="37">
        <v>3</v>
      </c>
      <c r="P10" t="s">
        <v>16</v>
      </c>
      <c r="V10" s="36">
        <v>4</v>
      </c>
    </row>
    <row r="11" spans="2:22" x14ac:dyDescent="0.3">
      <c r="B11" s="46" t="s">
        <v>10</v>
      </c>
      <c r="C11" s="46"/>
      <c r="D11" s="46"/>
      <c r="E11" s="24">
        <v>10</v>
      </c>
      <c r="F11" s="24">
        <v>11</v>
      </c>
      <c r="G11" s="24">
        <v>15</v>
      </c>
      <c r="H11" s="24">
        <v>25</v>
      </c>
      <c r="I11" s="24">
        <v>35</v>
      </c>
      <c r="J11" s="24">
        <v>5</v>
      </c>
      <c r="O11" s="37">
        <v>0</v>
      </c>
      <c r="V11" s="36"/>
    </row>
    <row r="12" spans="2:22" x14ac:dyDescent="0.3">
      <c r="O12" s="37">
        <v>3</v>
      </c>
      <c r="V12" s="36"/>
    </row>
    <row r="14" spans="2:22" x14ac:dyDescent="0.3">
      <c r="M14" t="s">
        <v>14</v>
      </c>
      <c r="O14" s="16">
        <f>(V5+V6+V10)/SUM(E4:J4)</f>
        <v>0.25777777777777777</v>
      </c>
    </row>
    <row r="16" spans="2:22" ht="15" thickBot="1" x14ac:dyDescent="0.35">
      <c r="B16" t="s">
        <v>23</v>
      </c>
    </row>
    <row r="17" spans="2:22" ht="15" thickBot="1" x14ac:dyDescent="0.35">
      <c r="B17" s="43" t="s">
        <v>0</v>
      </c>
      <c r="C17" s="44"/>
      <c r="D17" s="45"/>
      <c r="E17" s="41" t="s">
        <v>1</v>
      </c>
      <c r="F17" s="41"/>
      <c r="G17" s="41"/>
      <c r="H17" s="41"/>
      <c r="I17" s="41"/>
      <c r="J17" s="42"/>
      <c r="O17" s="37"/>
      <c r="P17" s="34"/>
      <c r="Q17" s="34"/>
      <c r="R17" s="34"/>
      <c r="S17" s="34"/>
      <c r="T17" s="34"/>
      <c r="U17" s="34"/>
      <c r="V17" s="35" t="s">
        <v>29</v>
      </c>
    </row>
    <row r="18" spans="2:22" ht="15" thickBot="1" x14ac:dyDescent="0.35">
      <c r="B18" s="21"/>
      <c r="C18" s="23" t="s">
        <v>24</v>
      </c>
      <c r="D18" s="22"/>
      <c r="E18" s="1">
        <v>30</v>
      </c>
      <c r="F18" s="2">
        <v>35</v>
      </c>
      <c r="G18" s="2">
        <v>15</v>
      </c>
      <c r="H18" s="2">
        <v>25</v>
      </c>
      <c r="I18" s="2">
        <v>75</v>
      </c>
      <c r="J18" s="2">
        <v>45</v>
      </c>
      <c r="M18" s="47" t="s">
        <v>11</v>
      </c>
      <c r="N18" s="47"/>
      <c r="O18" s="48"/>
      <c r="P18">
        <v>20</v>
      </c>
      <c r="V18" s="36"/>
    </row>
    <row r="19" spans="2:22" x14ac:dyDescent="0.3">
      <c r="B19" s="3" t="s">
        <v>2</v>
      </c>
      <c r="C19" s="4">
        <v>39</v>
      </c>
      <c r="D19" s="7">
        <v>40</v>
      </c>
      <c r="E19" s="32">
        <v>30</v>
      </c>
      <c r="F19" s="29">
        <v>35</v>
      </c>
      <c r="G19" s="17">
        <v>15</v>
      </c>
      <c r="H19" s="29">
        <v>25</v>
      </c>
      <c r="I19" s="39" t="s">
        <v>25</v>
      </c>
      <c r="J19" s="29">
        <v>45</v>
      </c>
      <c r="M19" s="47" t="s">
        <v>12</v>
      </c>
      <c r="N19" s="47"/>
      <c r="O19" s="48"/>
      <c r="P19">
        <f>MOD(E25,4)</f>
        <v>2</v>
      </c>
      <c r="Q19">
        <f t="shared" ref="Q19" si="1">MOD(F25,4)</f>
        <v>3</v>
      </c>
      <c r="R19">
        <f t="shared" ref="R19" si="2">MOD(G25,4)</f>
        <v>3</v>
      </c>
      <c r="S19">
        <f t="shared" ref="S19" si="3">MOD(H25,4)</f>
        <v>1</v>
      </c>
      <c r="T19">
        <f t="shared" ref="T19" si="4">MOD(I25,4)</f>
        <v>3</v>
      </c>
      <c r="U19">
        <f>MOD(J25,4)</f>
        <v>1</v>
      </c>
      <c r="V19" s="36">
        <f>SUM(P19:U19)</f>
        <v>13</v>
      </c>
    </row>
    <row r="20" spans="2:22" x14ac:dyDescent="0.3">
      <c r="B20" s="8" t="s">
        <v>3</v>
      </c>
      <c r="C20" s="9">
        <v>40</v>
      </c>
      <c r="D20" s="12">
        <v>40</v>
      </c>
      <c r="E20" s="33">
        <v>30</v>
      </c>
      <c r="F20" s="30">
        <v>35</v>
      </c>
      <c r="G20" s="18">
        <v>15</v>
      </c>
      <c r="H20" s="30">
        <v>25</v>
      </c>
      <c r="I20" s="30">
        <v>36</v>
      </c>
      <c r="J20" s="38" t="s">
        <v>7</v>
      </c>
      <c r="M20" s="47" t="s">
        <v>13</v>
      </c>
      <c r="N20" s="47"/>
      <c r="O20" s="48"/>
      <c r="P20">
        <v>10</v>
      </c>
      <c r="Q20">
        <v>11</v>
      </c>
      <c r="R20">
        <v>15</v>
      </c>
      <c r="S20">
        <v>0</v>
      </c>
      <c r="T20">
        <v>0</v>
      </c>
      <c r="U20">
        <v>5</v>
      </c>
      <c r="V20" s="36">
        <f>SUM(P20:U20)</f>
        <v>41</v>
      </c>
    </row>
    <row r="21" spans="2:22" x14ac:dyDescent="0.3">
      <c r="B21" s="8" t="s">
        <v>4</v>
      </c>
      <c r="C21" s="9">
        <v>33</v>
      </c>
      <c r="D21" s="12">
        <v>36</v>
      </c>
      <c r="E21" s="33">
        <v>30</v>
      </c>
      <c r="F21" s="38" t="s">
        <v>26</v>
      </c>
      <c r="G21" s="18">
        <v>15</v>
      </c>
      <c r="H21" s="30">
        <v>25</v>
      </c>
      <c r="I21" s="30">
        <v>36</v>
      </c>
      <c r="J21" s="18">
        <v>5</v>
      </c>
      <c r="M21" s="47" t="s">
        <v>15</v>
      </c>
      <c r="N21" s="47"/>
      <c r="O21" s="48"/>
      <c r="V21" s="36"/>
    </row>
    <row r="22" spans="2:22" x14ac:dyDescent="0.3">
      <c r="B22" s="8" t="s">
        <v>5</v>
      </c>
      <c r="C22" s="9">
        <v>20</v>
      </c>
      <c r="D22" s="12">
        <v>20</v>
      </c>
      <c r="E22" s="33">
        <v>30</v>
      </c>
      <c r="F22" s="18">
        <v>3</v>
      </c>
      <c r="G22" s="18">
        <v>15</v>
      </c>
      <c r="H22" s="38" t="s">
        <v>27</v>
      </c>
      <c r="I22" s="30">
        <v>36</v>
      </c>
      <c r="J22" s="18">
        <v>5</v>
      </c>
      <c r="O22" s="37">
        <v>1</v>
      </c>
      <c r="V22" s="36"/>
    </row>
    <row r="23" spans="2:22" ht="15" thickBot="1" x14ac:dyDescent="0.35">
      <c r="B23" s="13" t="s">
        <v>6</v>
      </c>
      <c r="C23" s="14">
        <v>21</v>
      </c>
      <c r="D23" s="15">
        <v>24</v>
      </c>
      <c r="E23" s="20">
        <v>30</v>
      </c>
      <c r="F23" s="19">
        <v>3</v>
      </c>
      <c r="G23" s="19">
        <v>15</v>
      </c>
      <c r="H23" s="31">
        <v>5</v>
      </c>
      <c r="I23" s="40" t="s">
        <v>28</v>
      </c>
      <c r="J23" s="19">
        <v>5</v>
      </c>
      <c r="O23" s="37">
        <v>0</v>
      </c>
      <c r="V23" s="36"/>
    </row>
    <row r="24" spans="2:22" x14ac:dyDescent="0.3">
      <c r="O24" s="37">
        <v>3</v>
      </c>
      <c r="P24" t="s">
        <v>16</v>
      </c>
      <c r="V24" s="36">
        <v>4</v>
      </c>
    </row>
    <row r="25" spans="2:22" x14ac:dyDescent="0.3">
      <c r="B25" s="46" t="s">
        <v>10</v>
      </c>
      <c r="C25" s="46"/>
      <c r="D25" s="46"/>
      <c r="E25" s="24">
        <v>30</v>
      </c>
      <c r="F25" s="24">
        <v>3</v>
      </c>
      <c r="G25" s="24">
        <v>15</v>
      </c>
      <c r="H25" s="24">
        <v>5</v>
      </c>
      <c r="I25" s="24">
        <v>15</v>
      </c>
      <c r="J25" s="24">
        <v>5</v>
      </c>
      <c r="O25" s="37">
        <v>0</v>
      </c>
      <c r="V25" s="36"/>
    </row>
    <row r="26" spans="2:22" x14ac:dyDescent="0.3">
      <c r="O26" s="37">
        <v>3</v>
      </c>
      <c r="V26" s="36"/>
    </row>
    <row r="28" spans="2:22" x14ac:dyDescent="0.3">
      <c r="M28" t="s">
        <v>14</v>
      </c>
      <c r="O28" s="16">
        <f>(V19+V20+V24)/SUM(E18:J18)</f>
        <v>0.25777777777777777</v>
      </c>
    </row>
    <row r="30" spans="2:22" ht="15" thickBot="1" x14ac:dyDescent="0.35">
      <c r="B30" t="s">
        <v>30</v>
      </c>
    </row>
    <row r="31" spans="2:22" ht="15" thickBot="1" x14ac:dyDescent="0.35">
      <c r="B31" s="43" t="s">
        <v>0</v>
      </c>
      <c r="C31" s="44"/>
      <c r="D31" s="45"/>
      <c r="E31" s="41" t="s">
        <v>1</v>
      </c>
      <c r="F31" s="41"/>
      <c r="G31" s="41"/>
      <c r="H31" s="41"/>
      <c r="I31" s="41"/>
      <c r="J31" s="42"/>
      <c r="O31" s="37"/>
      <c r="P31" s="34"/>
      <c r="Q31" s="34"/>
      <c r="R31" s="34"/>
      <c r="S31" s="34"/>
      <c r="T31" s="34"/>
      <c r="U31" s="34"/>
      <c r="V31" s="35" t="s">
        <v>29</v>
      </c>
    </row>
    <row r="32" spans="2:22" ht="15" thickBot="1" x14ac:dyDescent="0.35">
      <c r="B32" s="21"/>
      <c r="C32" s="23" t="s">
        <v>24</v>
      </c>
      <c r="D32" s="22"/>
      <c r="E32" s="1">
        <v>30</v>
      </c>
      <c r="F32" s="2">
        <v>35</v>
      </c>
      <c r="G32" s="2">
        <v>15</v>
      </c>
      <c r="H32" s="2">
        <v>25</v>
      </c>
      <c r="I32" s="2">
        <v>75</v>
      </c>
      <c r="J32" s="2">
        <v>45</v>
      </c>
      <c r="M32" s="47" t="s">
        <v>11</v>
      </c>
      <c r="N32" s="47"/>
      <c r="O32" s="48"/>
      <c r="P32">
        <v>20</v>
      </c>
      <c r="V32" s="36"/>
    </row>
    <row r="33" spans="2:22" x14ac:dyDescent="0.3">
      <c r="B33" s="3" t="s">
        <v>2</v>
      </c>
      <c r="C33" s="4">
        <v>39</v>
      </c>
      <c r="D33" s="7">
        <v>40</v>
      </c>
      <c r="E33" s="57">
        <v>30</v>
      </c>
      <c r="F33" s="52">
        <v>35</v>
      </c>
      <c r="G33" s="53">
        <v>15</v>
      </c>
      <c r="H33" s="52">
        <v>25</v>
      </c>
      <c r="I33" s="52">
        <v>75</v>
      </c>
      <c r="J33" s="60" t="s">
        <v>33</v>
      </c>
      <c r="M33" s="47" t="s">
        <v>12</v>
      </c>
      <c r="N33" s="47"/>
      <c r="O33" s="48"/>
      <c r="P33">
        <f>MOD(E39,4)</f>
        <v>1</v>
      </c>
      <c r="Q33">
        <f t="shared" ref="Q33" si="5">MOD(F39,4)</f>
        <v>2</v>
      </c>
      <c r="R33">
        <f t="shared" ref="R33" si="6">MOD(G39,4)</f>
        <v>3</v>
      </c>
      <c r="S33">
        <f t="shared" ref="S33" si="7">MOD(H39,4)</f>
        <v>1</v>
      </c>
      <c r="T33">
        <f t="shared" ref="T33" si="8">MOD(I39,4)</f>
        <v>3</v>
      </c>
      <c r="U33">
        <f>MOD(J39,4)</f>
        <v>2</v>
      </c>
      <c r="V33" s="36">
        <f>SUM(P33:U33)</f>
        <v>12</v>
      </c>
    </row>
    <row r="34" spans="2:22" x14ac:dyDescent="0.3">
      <c r="B34" s="8" t="s">
        <v>3</v>
      </c>
      <c r="C34" s="9">
        <v>40</v>
      </c>
      <c r="D34" s="12">
        <v>40</v>
      </c>
      <c r="E34" s="58">
        <v>30</v>
      </c>
      <c r="F34" s="54">
        <v>35</v>
      </c>
      <c r="G34" s="55">
        <v>15</v>
      </c>
      <c r="H34" s="54">
        <v>25</v>
      </c>
      <c r="I34" s="61" t="s">
        <v>21</v>
      </c>
      <c r="J34" s="55">
        <v>6</v>
      </c>
      <c r="M34" s="47" t="s">
        <v>13</v>
      </c>
      <c r="N34" s="47"/>
      <c r="O34" s="48"/>
      <c r="P34">
        <v>10</v>
      </c>
      <c r="Q34">
        <v>11</v>
      </c>
      <c r="R34">
        <v>15</v>
      </c>
      <c r="S34">
        <v>0</v>
      </c>
      <c r="T34">
        <v>0</v>
      </c>
      <c r="U34">
        <v>5</v>
      </c>
      <c r="V34" s="36">
        <f>SUM(P34:U34)</f>
        <v>41</v>
      </c>
    </row>
    <row r="35" spans="2:22" x14ac:dyDescent="0.3">
      <c r="B35" s="8" t="s">
        <v>4</v>
      </c>
      <c r="C35" s="9">
        <v>33</v>
      </c>
      <c r="D35" s="12">
        <v>36</v>
      </c>
      <c r="E35" s="58">
        <v>30</v>
      </c>
      <c r="F35" s="61" t="s">
        <v>32</v>
      </c>
      <c r="G35" s="55">
        <v>15</v>
      </c>
      <c r="H35" s="54">
        <v>25</v>
      </c>
      <c r="I35" s="55">
        <v>35</v>
      </c>
      <c r="J35" s="55">
        <v>6</v>
      </c>
      <c r="M35" s="47" t="s">
        <v>15</v>
      </c>
      <c r="N35" s="47"/>
      <c r="O35" s="48"/>
      <c r="V35" s="36"/>
    </row>
    <row r="36" spans="2:22" x14ac:dyDescent="0.3">
      <c r="B36" s="8" t="s">
        <v>5</v>
      </c>
      <c r="C36" s="9">
        <v>20</v>
      </c>
      <c r="D36" s="12">
        <v>20</v>
      </c>
      <c r="E36" s="59">
        <v>30</v>
      </c>
      <c r="F36" s="55">
        <v>2</v>
      </c>
      <c r="G36" s="55">
        <v>15</v>
      </c>
      <c r="H36" s="61" t="s">
        <v>27</v>
      </c>
      <c r="I36" s="55">
        <v>35</v>
      </c>
      <c r="J36" s="55">
        <v>6</v>
      </c>
      <c r="O36" s="37">
        <v>1</v>
      </c>
      <c r="V36" s="36"/>
    </row>
    <row r="37" spans="2:22" ht="15" thickBot="1" x14ac:dyDescent="0.35">
      <c r="B37" s="13" t="s">
        <v>6</v>
      </c>
      <c r="C37" s="14">
        <v>21</v>
      </c>
      <c r="D37" s="15">
        <v>24</v>
      </c>
      <c r="E37" s="62" t="s">
        <v>31</v>
      </c>
      <c r="F37" s="56">
        <v>2</v>
      </c>
      <c r="G37" s="56">
        <v>15</v>
      </c>
      <c r="H37" s="56">
        <v>5</v>
      </c>
      <c r="I37" s="56">
        <v>35</v>
      </c>
      <c r="J37" s="56">
        <v>6</v>
      </c>
      <c r="O37" s="37">
        <v>0</v>
      </c>
      <c r="V37" s="36"/>
    </row>
    <row r="38" spans="2:22" x14ac:dyDescent="0.3">
      <c r="O38" s="37">
        <v>3</v>
      </c>
      <c r="P38" t="s">
        <v>16</v>
      </c>
      <c r="V38" s="36">
        <v>4</v>
      </c>
    </row>
    <row r="39" spans="2:22" x14ac:dyDescent="0.3">
      <c r="B39" s="46" t="s">
        <v>10</v>
      </c>
      <c r="C39" s="46"/>
      <c r="D39" s="46"/>
      <c r="E39" s="24">
        <v>9</v>
      </c>
      <c r="F39" s="24">
        <v>2</v>
      </c>
      <c r="G39" s="24">
        <v>15</v>
      </c>
      <c r="H39" s="24">
        <v>5</v>
      </c>
      <c r="I39" s="24">
        <v>35</v>
      </c>
      <c r="J39" s="24">
        <v>6</v>
      </c>
      <c r="O39" s="37">
        <v>0</v>
      </c>
      <c r="V39" s="36"/>
    </row>
    <row r="40" spans="2:22" x14ac:dyDescent="0.3">
      <c r="O40" s="37">
        <v>3</v>
      </c>
      <c r="V40" s="36"/>
    </row>
    <row r="42" spans="2:22" x14ac:dyDescent="0.3">
      <c r="M42" t="s">
        <v>14</v>
      </c>
      <c r="O42" s="16">
        <f>(V33+V34+V38)/SUM(E32:J32)</f>
        <v>0.25333333333333335</v>
      </c>
    </row>
    <row r="44" spans="2:22" ht="15" thickBot="1" x14ac:dyDescent="0.35">
      <c r="B44" t="s">
        <v>34</v>
      </c>
    </row>
    <row r="45" spans="2:22" ht="15" thickBot="1" x14ac:dyDescent="0.35">
      <c r="B45" s="43" t="s">
        <v>0</v>
      </c>
      <c r="C45" s="44"/>
      <c r="D45" s="45"/>
      <c r="E45" s="41" t="s">
        <v>1</v>
      </c>
      <c r="F45" s="41"/>
      <c r="G45" s="41"/>
      <c r="H45" s="41"/>
      <c r="I45" s="41"/>
      <c r="J45" s="42"/>
      <c r="O45" s="37"/>
      <c r="P45" s="34"/>
      <c r="Q45" s="34"/>
      <c r="R45" s="34"/>
      <c r="S45" s="34"/>
      <c r="T45" s="34"/>
      <c r="U45" s="34"/>
      <c r="V45" s="35" t="s">
        <v>29</v>
      </c>
    </row>
    <row r="46" spans="2:22" ht="15" thickBot="1" x14ac:dyDescent="0.35">
      <c r="B46" s="21"/>
      <c r="C46" s="23" t="s">
        <v>24</v>
      </c>
      <c r="D46" s="22"/>
      <c r="E46" s="1">
        <v>30</v>
      </c>
      <c r="F46" s="2">
        <v>35</v>
      </c>
      <c r="G46" s="2">
        <v>15</v>
      </c>
      <c r="H46" s="2">
        <v>25</v>
      </c>
      <c r="I46" s="2">
        <v>75</v>
      </c>
      <c r="J46" s="2">
        <v>45</v>
      </c>
      <c r="M46" s="47" t="s">
        <v>11</v>
      </c>
      <c r="N46" s="47"/>
      <c r="O46" s="48"/>
      <c r="P46">
        <v>20</v>
      </c>
      <c r="V46" s="36"/>
    </row>
    <row r="47" spans="2:22" x14ac:dyDescent="0.3">
      <c r="B47" s="3" t="s">
        <v>2</v>
      </c>
      <c r="C47" s="4">
        <v>39</v>
      </c>
      <c r="D47" s="7">
        <v>40</v>
      </c>
      <c r="E47" s="57">
        <v>30</v>
      </c>
      <c r="F47" s="52">
        <v>35</v>
      </c>
      <c r="G47" s="53">
        <v>15</v>
      </c>
      <c r="H47" s="53">
        <v>25</v>
      </c>
      <c r="I47" s="63" t="s">
        <v>25</v>
      </c>
      <c r="J47" s="52">
        <v>40</v>
      </c>
      <c r="M47" s="47" t="s">
        <v>12</v>
      </c>
      <c r="N47" s="47"/>
      <c r="O47" s="48"/>
      <c r="P47">
        <f>MOD(E53,4)</f>
        <v>1</v>
      </c>
      <c r="Q47">
        <f t="shared" ref="Q47" si="9">MOD(F53,4)</f>
        <v>3</v>
      </c>
      <c r="R47">
        <f t="shared" ref="R47" si="10">MOD(G53,4)</f>
        <v>3</v>
      </c>
      <c r="S47">
        <f t="shared" ref="S47" si="11">MOD(H53,4)</f>
        <v>1</v>
      </c>
      <c r="T47">
        <f t="shared" ref="T47" si="12">MOD(I53,4)</f>
        <v>3</v>
      </c>
      <c r="U47">
        <f>MOD(J53,4)</f>
        <v>1</v>
      </c>
      <c r="V47" s="36">
        <f>SUM(P47:U47)</f>
        <v>12</v>
      </c>
    </row>
    <row r="48" spans="2:22" x14ac:dyDescent="0.3">
      <c r="B48" s="8" t="s">
        <v>3</v>
      </c>
      <c r="C48" s="9">
        <v>40</v>
      </c>
      <c r="D48" s="12">
        <v>40</v>
      </c>
      <c r="E48" s="58">
        <v>30</v>
      </c>
      <c r="F48" s="54">
        <v>35</v>
      </c>
      <c r="G48" s="55">
        <v>15</v>
      </c>
      <c r="H48" s="55">
        <v>25</v>
      </c>
      <c r="I48" s="54">
        <v>36</v>
      </c>
      <c r="J48" s="64" t="s">
        <v>35</v>
      </c>
      <c r="M48" s="47" t="s">
        <v>13</v>
      </c>
      <c r="N48" s="47"/>
      <c r="O48" s="48"/>
      <c r="P48">
        <v>10</v>
      </c>
      <c r="Q48">
        <v>11</v>
      </c>
      <c r="R48">
        <v>15</v>
      </c>
      <c r="S48">
        <v>0</v>
      </c>
      <c r="T48">
        <v>0</v>
      </c>
      <c r="U48">
        <v>5</v>
      </c>
      <c r="V48" s="36">
        <f>SUM(P48:U48)</f>
        <v>41</v>
      </c>
    </row>
    <row r="49" spans="2:22" x14ac:dyDescent="0.3">
      <c r="B49" s="8" t="s">
        <v>4</v>
      </c>
      <c r="C49" s="9">
        <v>33</v>
      </c>
      <c r="D49" s="12">
        <v>36</v>
      </c>
      <c r="E49" s="58">
        <v>30</v>
      </c>
      <c r="F49" s="54">
        <v>35</v>
      </c>
      <c r="G49" s="55">
        <v>15</v>
      </c>
      <c r="H49" s="55">
        <v>25</v>
      </c>
      <c r="I49" s="64" t="s">
        <v>36</v>
      </c>
      <c r="J49" s="55">
        <v>5</v>
      </c>
      <c r="M49" s="47" t="s">
        <v>15</v>
      </c>
      <c r="N49" s="47"/>
      <c r="O49" s="48"/>
      <c r="V49" s="36"/>
    </row>
    <row r="50" spans="2:22" x14ac:dyDescent="0.3">
      <c r="B50" s="8" t="s">
        <v>5</v>
      </c>
      <c r="C50" s="9">
        <v>20</v>
      </c>
      <c r="D50" s="12">
        <v>20</v>
      </c>
      <c r="E50" s="59">
        <v>30</v>
      </c>
      <c r="F50" s="64" t="s">
        <v>37</v>
      </c>
      <c r="G50" s="55">
        <v>15</v>
      </c>
      <c r="H50" s="55">
        <v>25</v>
      </c>
      <c r="I50" s="55">
        <v>3</v>
      </c>
      <c r="J50" s="55">
        <v>5</v>
      </c>
      <c r="O50" s="37">
        <v>1</v>
      </c>
      <c r="V50" s="36"/>
    </row>
    <row r="51" spans="2:22" ht="15" thickBot="1" x14ac:dyDescent="0.35">
      <c r="B51" s="13" t="s">
        <v>6</v>
      </c>
      <c r="C51" s="14">
        <v>21</v>
      </c>
      <c r="D51" s="15">
        <v>24</v>
      </c>
      <c r="E51" s="65" t="s">
        <v>31</v>
      </c>
      <c r="F51" s="56">
        <v>15</v>
      </c>
      <c r="G51" s="56">
        <v>15</v>
      </c>
      <c r="H51" s="56">
        <v>25</v>
      </c>
      <c r="I51" s="56">
        <v>3</v>
      </c>
      <c r="J51" s="56">
        <v>5</v>
      </c>
      <c r="O51" s="37">
        <v>0</v>
      </c>
      <c r="V51" s="36"/>
    </row>
    <row r="52" spans="2:22" x14ac:dyDescent="0.3">
      <c r="O52" s="37">
        <v>3</v>
      </c>
      <c r="P52" t="s">
        <v>16</v>
      </c>
      <c r="V52" s="36">
        <v>4</v>
      </c>
    </row>
    <row r="53" spans="2:22" x14ac:dyDescent="0.3">
      <c r="B53" s="46" t="s">
        <v>10</v>
      </c>
      <c r="C53" s="46"/>
      <c r="D53" s="46"/>
      <c r="E53" s="24">
        <v>9</v>
      </c>
      <c r="F53" s="24">
        <v>15</v>
      </c>
      <c r="G53" s="24">
        <v>15</v>
      </c>
      <c r="H53" s="24">
        <v>25</v>
      </c>
      <c r="I53" s="24">
        <v>3</v>
      </c>
      <c r="J53" s="24">
        <v>5</v>
      </c>
      <c r="O53" s="37">
        <v>0</v>
      </c>
      <c r="V53" s="36"/>
    </row>
    <row r="54" spans="2:22" x14ac:dyDescent="0.3">
      <c r="O54" s="37">
        <v>3</v>
      </c>
      <c r="V54" s="36"/>
    </row>
    <row r="56" spans="2:22" x14ac:dyDescent="0.3">
      <c r="M56" t="s">
        <v>14</v>
      </c>
      <c r="O56" s="16">
        <f>(V47+V48+V52)/SUM(E46:J46)</f>
        <v>0.25333333333333335</v>
      </c>
    </row>
    <row r="58" spans="2:22" ht="15" thickBot="1" x14ac:dyDescent="0.35"/>
    <row r="59" spans="2:22" ht="15" thickBot="1" x14ac:dyDescent="0.35">
      <c r="D59" s="66" t="s">
        <v>17</v>
      </c>
      <c r="E59" s="67" t="s">
        <v>18</v>
      </c>
      <c r="F59" s="67" t="s">
        <v>19</v>
      </c>
      <c r="G59" s="68" t="s">
        <v>20</v>
      </c>
    </row>
    <row r="60" spans="2:22" ht="15" thickBot="1" x14ac:dyDescent="0.35">
      <c r="D60" s="69">
        <f>O14</f>
        <v>0.25777777777777777</v>
      </c>
      <c r="E60" s="70">
        <v>0.26</v>
      </c>
      <c r="F60" s="70">
        <v>0.25</v>
      </c>
      <c r="G60" s="71">
        <v>0.25</v>
      </c>
    </row>
  </sheetData>
  <mergeCells count="28">
    <mergeCell ref="B39:D39"/>
    <mergeCell ref="B45:D45"/>
    <mergeCell ref="E45:J45"/>
    <mergeCell ref="B53:D53"/>
    <mergeCell ref="M18:O18"/>
    <mergeCell ref="M19:O19"/>
    <mergeCell ref="M20:O20"/>
    <mergeCell ref="M21:O21"/>
    <mergeCell ref="M32:O32"/>
    <mergeCell ref="M33:O33"/>
    <mergeCell ref="M34:O34"/>
    <mergeCell ref="M35:O35"/>
    <mergeCell ref="M46:O46"/>
    <mergeCell ref="M47:O47"/>
    <mergeCell ref="M48:O48"/>
    <mergeCell ref="M49:O49"/>
    <mergeCell ref="E3:J3"/>
    <mergeCell ref="B3:D4"/>
    <mergeCell ref="B11:D11"/>
    <mergeCell ref="B31:D31"/>
    <mergeCell ref="E31:J31"/>
    <mergeCell ref="E17:J17"/>
    <mergeCell ref="B17:D17"/>
    <mergeCell ref="B25:D25"/>
    <mergeCell ref="M4:O4"/>
    <mergeCell ref="M5:O5"/>
    <mergeCell ref="M6:O6"/>
    <mergeCell ref="M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MEMO_TASK2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Szendrei Botond</dc:creator>
  <cp:lastModifiedBy>Szendrei Botond</cp:lastModifiedBy>
  <dcterms:created xsi:type="dcterms:W3CDTF">2015-06-05T18:19:34Z</dcterms:created>
  <dcterms:modified xsi:type="dcterms:W3CDTF">2026-05-03T11:53:21Z</dcterms:modified>
</cp:coreProperties>
</file>